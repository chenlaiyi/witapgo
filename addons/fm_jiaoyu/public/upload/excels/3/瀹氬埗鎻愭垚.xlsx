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<sst xmlns="http://schemas.openxmlformats.org/spreadsheetml/2006/main" count="72">
  <si>
    <t>定制提成分析</t>
  </si>
  <si>
    <t>客户</t>
  </si>
  <si>
    <t>时间</t>
  </si>
  <si>
    <t>发放状态</t>
  </si>
  <si>
    <t>预付款</t>
  </si>
  <si>
    <t>内容</t>
  </si>
  <si>
    <t>总金额</t>
  </si>
  <si>
    <t>李任重</t>
  </si>
  <si>
    <t>王杰</t>
  </si>
  <si>
    <t>李秀玲</t>
  </si>
  <si>
    <t>W</t>
  </si>
  <si>
    <t>已发</t>
  </si>
  <si>
    <t>中宝考勤设备</t>
  </si>
  <si>
    <t>重庆Mr.李</t>
  </si>
  <si>
    <t>2019.03.22</t>
  </si>
  <si>
    <t>舞蹈平台</t>
  </si>
  <si>
    <t>幼酷</t>
  </si>
  <si>
    <t>2019.5.23</t>
  </si>
  <si>
    <t>沃土人脸</t>
  </si>
  <si>
    <t>2019.5.26</t>
  </si>
  <si>
    <t>沃土人脸增加刷卡</t>
  </si>
  <si>
    <t>博</t>
  </si>
  <si>
    <t>2019.5.22</t>
  </si>
  <si>
    <t>课程刷卡销课增加打印小票</t>
  </si>
  <si>
    <t>重庆小余</t>
  </si>
  <si>
    <t>对接考勤机</t>
  </si>
  <si>
    <t>领跑者</t>
  </si>
  <si>
    <t>2019.5.30</t>
  </si>
  <si>
    <t>增加指定的学生卡安全功能跳转</t>
  </si>
  <si>
    <t>2019.5.31</t>
  </si>
  <si>
    <t>增加普通考勤机刷卡扣课时</t>
  </si>
  <si>
    <t>GLP</t>
  </si>
  <si>
    <t>2019.5.28</t>
  </si>
  <si>
    <t>导入形式修改课程</t>
  </si>
  <si>
    <t>杨师兄</t>
  </si>
  <si>
    <t>2019.6.13</t>
  </si>
  <si>
    <t>转班提醒,培训老师签到无需确认</t>
  </si>
  <si>
    <t>年级排名，班主任、阶段主任、校长增加总分及排名（班级和年级）</t>
  </si>
  <si>
    <t>夏阳</t>
  </si>
  <si>
    <t>2019.6.29</t>
  </si>
  <si>
    <t>手机端排名开关</t>
  </si>
  <si>
    <t>张昌云</t>
  </si>
  <si>
    <t>2019.7.5</t>
  </si>
  <si>
    <t>宿舍管理相关</t>
  </si>
  <si>
    <t>游侠</t>
  </si>
  <si>
    <t>2019.07.23</t>
  </si>
  <si>
    <t>宿舍图书手机端报表</t>
  </si>
  <si>
    <t>佛山客户</t>
  </si>
  <si>
    <t>2019.07.28</t>
  </si>
  <si>
    <t>公物及场室管理</t>
  </si>
  <si>
    <t>2019.07.31</t>
  </si>
  <si>
    <t>和校园接口对接</t>
  </si>
  <si>
    <t>魏</t>
  </si>
  <si>
    <t>2019.8.2</t>
  </si>
  <si>
    <t>前端风格，营销插件，统计</t>
  </si>
  <si>
    <t>2019.8.7</t>
  </si>
  <si>
    <t>余额充值、单独修改余额、充值记录</t>
  </si>
  <si>
    <t>2019.8.13</t>
  </si>
  <si>
    <t>楼栋可以多个管理员</t>
  </si>
  <si>
    <t>2019.8.15</t>
  </si>
  <si>
    <t>充值记录按规格打印</t>
  </si>
  <si>
    <t>古歌</t>
  </si>
  <si>
    <t>2019.8.23</t>
  </si>
  <si>
    <t>增加回访记录</t>
  </si>
  <si>
    <t>2019.8.27</t>
  </si>
  <si>
    <t>2019.9.17</t>
  </si>
  <si>
    <t>国家补助规则修改</t>
  </si>
  <si>
    <t>早起</t>
  </si>
  <si>
    <t>2019.8.26</t>
  </si>
  <si>
    <t>课程预警，学员导入等</t>
  </si>
  <si>
    <t>添加客户</t>
  </si>
  <si>
    <t>2019.8.25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</si>
</sst>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&quot;￥&quot;#,##0.00;[Red]&quot;￥&quot;#,##0.00"/>
  </numFmts>
  <fonts count="32">
    <font>
      <sz val="11"/>
      <color theme="1"/>
      <name val="宋体"/>
      <charset val="134"/>
      <scheme val="minor"/>
    </font>
    <font>
      <sz val="14"/>
      <color theme="1"/>
      <name val="思源黑体"/>
      <charset val="134"/>
    </font>
    <font>
      <sz val="14"/>
      <color rgb="FFFF0000"/>
      <name val="思源黑体"/>
      <charset val="134"/>
    </font>
    <font>
      <sz val="14"/>
      <color rgb="FF7030A0"/>
      <name val="思源黑体"/>
      <charset val="134"/>
    </font>
    <font>
      <b/>
      <sz val="28"/>
      <color theme="1"/>
      <name val="思源黑体 CN Light"/>
      <charset val="134"/>
    </font>
    <font>
      <b/>
      <sz val="28"/>
      <color rgb="FFFF0000"/>
      <name val="思源黑体 CN Light"/>
      <charset val="134"/>
    </font>
    <font>
      <b/>
      <sz val="16"/>
      <color theme="1"/>
      <name val="思源黑体 CN Light"/>
      <charset val="134"/>
    </font>
    <font>
      <sz val="16"/>
      <color theme="1"/>
      <name val="思源黑体 CN Light"/>
      <charset val="134"/>
    </font>
    <font>
      <sz val="16"/>
      <color rgb="FFFF0000"/>
      <name val="思源黑体 CN Light"/>
      <charset val="134"/>
    </font>
    <font>
      <b/>
      <sz val="28"/>
      <color rgb="FF7030A0"/>
      <name val="思源黑体 CN Light"/>
      <charset val="134"/>
    </font>
    <font>
      <b/>
      <sz val="16"/>
      <color rgb="FF7030A0"/>
      <name val="思源黑体 CN Light"/>
      <charset val="134"/>
    </font>
    <font>
      <b/>
      <sz val="16"/>
      <color rgb="FFFF0000"/>
      <name val="思源黑体 CN Light"/>
      <charset val="134"/>
    </font>
    <font>
      <sz val="16"/>
      <color rgb="FF7030A0"/>
      <name val="思源黑体 CN Light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11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0" borderId="17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0" fillId="25" borderId="22" applyNumberFormat="0" applyAlignment="0" applyProtection="0">
      <alignment vertical="center"/>
    </xf>
    <xf numFmtId="0" fontId="29" fillId="25" borderId="18" applyNumberFormat="0" applyAlignment="0" applyProtection="0">
      <alignment vertical="center"/>
    </xf>
    <xf numFmtId="0" fontId="28" fillId="22" borderId="21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76" fontId="9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76" fontId="8" fillId="2" borderId="12" xfId="0" applyNumberFormat="1" applyFont="1" applyFill="1" applyBorder="1" applyAlignment="1">
      <alignment horizontal="center" vertical="center"/>
    </xf>
    <xf numFmtId="9" fontId="7" fillId="2" borderId="5" xfId="0" applyNumberFormat="1" applyFont="1" applyFill="1" applyBorder="1" applyAlignment="1">
      <alignment horizontal="right" vertical="center"/>
    </xf>
    <xf numFmtId="176" fontId="7" fillId="2" borderId="13" xfId="0" applyNumberFormat="1" applyFont="1" applyFill="1" applyBorder="1" applyAlignment="1">
      <alignment horizontal="right"/>
    </xf>
    <xf numFmtId="176" fontId="7" fillId="2" borderId="6" xfId="0" applyNumberFormat="1" applyFont="1" applyFill="1" applyBorder="1" applyAlignment="1">
      <alignment horizontal="right" vertical="center"/>
    </xf>
    <xf numFmtId="176" fontId="8" fillId="2" borderId="6" xfId="0" applyNumberFormat="1" applyFont="1" applyFill="1" applyBorder="1" applyAlignment="1">
      <alignment horizontal="right" vertical="center"/>
    </xf>
    <xf numFmtId="176" fontId="7" fillId="2" borderId="14" xfId="0" applyNumberFormat="1" applyFont="1" applyFill="1" applyBorder="1" applyAlignment="1">
      <alignment horizontal="right"/>
    </xf>
    <xf numFmtId="176" fontId="12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right" vertical="center"/>
    </xf>
    <xf numFmtId="176" fontId="7" fillId="0" borderId="13" xfId="0" applyNumberFormat="1" applyFont="1" applyBorder="1" applyAlignment="1">
      <alignment horizontal="right"/>
    </xf>
    <xf numFmtId="176" fontId="7" fillId="0" borderId="6" xfId="0" applyNumberFormat="1" applyFont="1" applyBorder="1" applyAlignment="1">
      <alignment horizontal="right" vertical="center"/>
    </xf>
    <xf numFmtId="176" fontId="8" fillId="0" borderId="6" xfId="0" applyNumberFormat="1" applyFont="1" applyBorder="1" applyAlignment="1">
      <alignment horizontal="right" vertical="center"/>
    </xf>
    <xf numFmtId="176" fontId="7" fillId="0" borderId="14" xfId="0" applyNumberFormat="1" applyFont="1" applyBorder="1" applyAlignment="1">
      <alignment horizontal="right"/>
    </xf>
    <xf numFmtId="9" fontId="7" fillId="0" borderId="5" xfId="0" applyNumberFormat="1" applyFont="1" applyFill="1" applyBorder="1" applyAlignment="1" applyProtection="1">
      <alignment horizontal="right" vertical="center"/>
    </xf>
    <xf numFmtId="176" fontId="12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right" vertical="center"/>
    </xf>
    <xf numFmtId="176" fontId="8" fillId="0" borderId="9" xfId="0" applyNumberFormat="1" applyFont="1" applyBorder="1" applyAlignment="1">
      <alignment horizontal="right" vertical="center"/>
    </xf>
    <xf numFmtId="176" fontId="7" fillId="0" borderId="15" xfId="0" applyNumberFormat="1" applyFont="1" applyBorder="1" applyAlignment="1">
      <alignment horizontal="right"/>
    </xf>
    <xf numFmtId="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BlackTie">
      <a:dk1>
        <a:srgbClr val="000000"/>
      </a:dk1>
      <a:lt1>
        <a:srgbClr val="FFFFFF"/>
      </a:lt1>
      <a:dk2>
        <a:srgbClr val="46464A"/>
      </a:dk2>
      <a:lt2>
        <a:srgbClr val="E3DCCF"/>
      </a:lt2>
      <a:accent1>
        <a:srgbClr val="6F6F74"/>
      </a:accent1>
      <a:accent2>
        <a:srgbClr val="A7B789"/>
      </a:accent2>
      <a:accent3>
        <a:srgbClr val="BEAE98"/>
      </a:accent3>
      <a:accent4>
        <a:srgbClr val="92A9B9"/>
      </a:accent4>
      <a:accent5>
        <a:srgbClr val="9C8265"/>
      </a:accent5>
      <a:accent6>
        <a:srgbClr val="8D6974"/>
      </a:accent6>
      <a:hlink>
        <a:srgbClr val="67AABF"/>
      </a:hlink>
      <a:folHlink>
        <a:srgbClr val="B1B5AB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2:V56"/>
  <sheetViews>
    <sheetView tabSelected="1" topLeftCell="B21" workbookViewId="0">
      <selection activeCell="K55" sqref="K55:K56"/>
    </sheetView>
  </sheetViews>
  <sheetFormatPr defaultColWidth="9" defaultRowHeight="18.75"/>
  <cols>
    <col min="1" max="5" width="9" style="1"/>
    <col min="6" max="6" width="16.1916666666667" style="1" customWidth="1"/>
    <col min="7" max="7" width="21.5" style="1" customWidth="1"/>
    <col min="8" max="8" width="21.5" style="2" customWidth="1"/>
    <col min="9" max="9" width="21.5" style="3" customWidth="1"/>
    <col min="10" max="10" width="23.5833333333333" style="4" customWidth="1"/>
    <col min="11" max="11" width="21.5" style="5" customWidth="1"/>
    <col min="12" max="12" width="17" style="6" customWidth="1"/>
    <col min="13" max="13" width="17" style="1" customWidth="1"/>
    <col min="14" max="14" width="17" style="7" customWidth="1"/>
    <col min="15" max="15" width="9" style="1"/>
    <col min="16" max="17" width="18" style="1" customWidth="1"/>
    <col min="18" max="16384" width="9" style="1"/>
  </cols>
  <sheetData>
    <row r="2" ht="33" customHeight="1" spans="6:22">
      <c r="F2" s="8" t="s">
        <v>0</v>
      </c>
      <c r="G2" s="9"/>
      <c r="H2" s="10"/>
      <c r="I2" s="27"/>
      <c r="J2" s="28"/>
      <c r="K2" s="29"/>
      <c r="L2" s="30"/>
      <c r="M2" s="9"/>
      <c r="N2" s="31"/>
      <c r="O2" s="32"/>
      <c r="P2" s="32"/>
      <c r="Q2" s="32"/>
      <c r="R2" s="32"/>
      <c r="S2" s="32"/>
      <c r="T2" s="32"/>
      <c r="U2" s="32"/>
      <c r="V2" s="32"/>
    </row>
    <row r="3" ht="33" customHeight="1" spans="6:22">
      <c r="F3" s="11"/>
      <c r="G3" s="12"/>
      <c r="H3" s="13"/>
      <c r="I3" s="33"/>
      <c r="J3" s="34"/>
      <c r="K3" s="35"/>
      <c r="L3" s="36"/>
      <c r="M3" s="12"/>
      <c r="N3" s="37"/>
      <c r="O3" s="32"/>
      <c r="P3" s="32"/>
      <c r="Q3" s="32"/>
      <c r="R3" s="32"/>
      <c r="S3" s="32"/>
      <c r="T3" s="32"/>
      <c r="U3" s="32"/>
      <c r="V3" s="32"/>
    </row>
    <row r="4" ht="47" customHeight="1" spans="6:14">
      <c r="F4" s="14" t="s">
        <v>1</v>
      </c>
      <c r="G4" s="15" t="s">
        <v>2</v>
      </c>
      <c r="H4" s="15" t="s">
        <v>3</v>
      </c>
      <c r="I4" s="38" t="s">
        <v>4</v>
      </c>
      <c r="J4" s="39" t="s">
        <v>5</v>
      </c>
      <c r="K4" s="40" t="s">
        <v>6</v>
      </c>
      <c r="L4" s="41" t="s">
        <v>7</v>
      </c>
      <c r="M4" s="15" t="s">
        <v>8</v>
      </c>
      <c r="N4" s="42" t="s">
        <v>9</v>
      </c>
    </row>
    <row r="5" ht="20.25" spans="6:14">
      <c r="F5" s="16" t="s">
        <v>10</v>
      </c>
      <c r="G5" s="17">
        <v>2018.12</v>
      </c>
      <c r="H5" s="18" t="s">
        <v>11</v>
      </c>
      <c r="I5" s="43">
        <v>5000</v>
      </c>
      <c r="J5" s="44" t="s">
        <v>12</v>
      </c>
      <c r="K5" s="45">
        <v>10000</v>
      </c>
      <c r="L5" s="46">
        <v>1</v>
      </c>
      <c r="M5" s="46"/>
      <c r="N5" s="47">
        <f>K5/2*0.05</f>
        <v>250</v>
      </c>
    </row>
    <row r="6" ht="20.25" spans="6:14">
      <c r="F6" s="16"/>
      <c r="G6" s="17"/>
      <c r="H6" s="19"/>
      <c r="I6" s="43"/>
      <c r="J6" s="44"/>
      <c r="K6" s="45"/>
      <c r="L6" s="48">
        <v>4500</v>
      </c>
      <c r="M6" s="49"/>
      <c r="N6" s="50"/>
    </row>
    <row r="7" ht="20.25" spans="6:14">
      <c r="F7" s="20" t="s">
        <v>13</v>
      </c>
      <c r="G7" s="21" t="s">
        <v>14</v>
      </c>
      <c r="H7" s="22"/>
      <c r="I7" s="51">
        <v>40000</v>
      </c>
      <c r="J7" s="52" t="s">
        <v>15</v>
      </c>
      <c r="K7" s="53">
        <v>80000</v>
      </c>
      <c r="L7" s="54"/>
      <c r="M7" s="54"/>
      <c r="N7" s="55">
        <f>K7/2*0.05</f>
        <v>2000</v>
      </c>
    </row>
    <row r="8" ht="20.25" spans="6:14">
      <c r="F8" s="20"/>
      <c r="G8" s="21"/>
      <c r="H8" s="23"/>
      <c r="I8" s="51"/>
      <c r="J8" s="52"/>
      <c r="K8" s="53"/>
      <c r="L8" s="56"/>
      <c r="M8" s="57"/>
      <c r="N8" s="58"/>
    </row>
    <row r="9" ht="20.25" spans="6:14">
      <c r="F9" s="16" t="s">
        <v>16</v>
      </c>
      <c r="G9" s="17" t="s">
        <v>17</v>
      </c>
      <c r="H9" s="18" t="s">
        <v>11</v>
      </c>
      <c r="I9" s="43">
        <v>1000</v>
      </c>
      <c r="J9" s="44" t="s">
        <v>18</v>
      </c>
      <c r="K9" s="45">
        <v>2000</v>
      </c>
      <c r="L9" s="46">
        <v>1</v>
      </c>
      <c r="M9" s="46">
        <v>0</v>
      </c>
      <c r="N9" s="47">
        <f>K9/2*0.05</f>
        <v>50</v>
      </c>
    </row>
    <row r="10" ht="20.25" spans="6:14">
      <c r="F10" s="16"/>
      <c r="G10" s="17"/>
      <c r="H10" s="19"/>
      <c r="I10" s="43"/>
      <c r="J10" s="44"/>
      <c r="K10" s="45"/>
      <c r="L10" s="48">
        <f>K9/2-N9-M10</f>
        <v>950</v>
      </c>
      <c r="M10" s="49"/>
      <c r="N10" s="50"/>
    </row>
    <row r="11" ht="20.25" spans="6:17">
      <c r="F11" s="20" t="s">
        <v>16</v>
      </c>
      <c r="G11" s="21" t="s">
        <v>19</v>
      </c>
      <c r="H11" s="22" t="s">
        <v>11</v>
      </c>
      <c r="I11" s="51">
        <v>500</v>
      </c>
      <c r="J11" s="52" t="s">
        <v>20</v>
      </c>
      <c r="K11" s="53">
        <v>1500</v>
      </c>
      <c r="L11" s="59">
        <v>1</v>
      </c>
      <c r="M11" s="54">
        <v>0</v>
      </c>
      <c r="N11" s="55">
        <f>K11/2*0.05</f>
        <v>37.5</v>
      </c>
      <c r="Q11" s="66"/>
    </row>
    <row r="12" ht="20.25" spans="6:14">
      <c r="F12" s="20"/>
      <c r="G12" s="21"/>
      <c r="H12" s="23"/>
      <c r="I12" s="51"/>
      <c r="J12" s="52"/>
      <c r="K12" s="53"/>
      <c r="L12" s="56">
        <f>K11/2-N11-M12</f>
        <v>712.5</v>
      </c>
      <c r="M12" s="57"/>
      <c r="N12" s="58"/>
    </row>
    <row r="13" ht="20.25" spans="6:14">
      <c r="F13" s="16" t="s">
        <v>21</v>
      </c>
      <c r="G13" s="17" t="s">
        <v>22</v>
      </c>
      <c r="H13" s="18" t="s">
        <v>11</v>
      </c>
      <c r="I13" s="43">
        <v>1500</v>
      </c>
      <c r="J13" s="44" t="s">
        <v>23</v>
      </c>
      <c r="K13" s="45">
        <v>3000</v>
      </c>
      <c r="L13" s="46">
        <v>1</v>
      </c>
      <c r="M13" s="46">
        <v>0</v>
      </c>
      <c r="N13" s="47">
        <f>K13/2*0.05</f>
        <v>75</v>
      </c>
    </row>
    <row r="14" ht="20.25" spans="6:14">
      <c r="F14" s="16"/>
      <c r="G14" s="17"/>
      <c r="H14" s="19"/>
      <c r="I14" s="43"/>
      <c r="J14" s="44"/>
      <c r="K14" s="45"/>
      <c r="L14" s="48">
        <f>K13/2-N13-M14</f>
        <v>1425</v>
      </c>
      <c r="M14" s="49"/>
      <c r="N14" s="50"/>
    </row>
    <row r="15" ht="20.25" spans="6:14">
      <c r="F15" s="20" t="s">
        <v>24</v>
      </c>
      <c r="G15" s="21"/>
      <c r="H15" s="22"/>
      <c r="I15" s="51">
        <v>1000</v>
      </c>
      <c r="J15" s="52" t="s">
        <v>25</v>
      </c>
      <c r="K15" s="53">
        <v>1000</v>
      </c>
      <c r="L15" s="54">
        <v>1</v>
      </c>
      <c r="M15" s="54">
        <v>0</v>
      </c>
      <c r="N15" s="55">
        <f>K15/2*0.05</f>
        <v>25</v>
      </c>
    </row>
    <row r="16" ht="20.25" spans="6:14">
      <c r="F16" s="20"/>
      <c r="G16" s="21"/>
      <c r="H16" s="23"/>
      <c r="I16" s="51"/>
      <c r="J16" s="52"/>
      <c r="K16" s="53"/>
      <c r="L16" s="56"/>
      <c r="M16" s="57"/>
      <c r="N16" s="58"/>
    </row>
    <row r="17" ht="20.25" spans="6:14">
      <c r="F17" s="16" t="s">
        <v>26</v>
      </c>
      <c r="G17" s="17" t="s">
        <v>27</v>
      </c>
      <c r="H17" s="18" t="s">
        <v>11</v>
      </c>
      <c r="I17" s="43">
        <v>800</v>
      </c>
      <c r="J17" s="44" t="s">
        <v>28</v>
      </c>
      <c r="K17" s="45">
        <v>800</v>
      </c>
      <c r="L17" s="46">
        <v>0</v>
      </c>
      <c r="M17" s="46">
        <v>0</v>
      </c>
      <c r="N17" s="47">
        <f>K17/2*0.05</f>
        <v>20</v>
      </c>
    </row>
    <row r="18" ht="20.25" spans="6:14">
      <c r="F18" s="16"/>
      <c r="G18" s="17"/>
      <c r="H18" s="19"/>
      <c r="I18" s="43"/>
      <c r="J18" s="44"/>
      <c r="K18" s="45"/>
      <c r="L18" s="48"/>
      <c r="M18" s="49"/>
      <c r="N18" s="50"/>
    </row>
    <row r="19" ht="20.25" spans="6:14">
      <c r="F19" s="20" t="s">
        <v>21</v>
      </c>
      <c r="G19" s="21" t="s">
        <v>29</v>
      </c>
      <c r="H19" s="22" t="s">
        <v>11</v>
      </c>
      <c r="I19" s="51">
        <v>1000</v>
      </c>
      <c r="J19" s="52" t="s">
        <v>30</v>
      </c>
      <c r="K19" s="53">
        <v>2000</v>
      </c>
      <c r="L19" s="54">
        <v>1</v>
      </c>
      <c r="M19" s="54"/>
      <c r="N19" s="55">
        <f>K19/2*0.05</f>
        <v>50</v>
      </c>
    </row>
    <row r="20" ht="20.25" spans="6:14">
      <c r="F20" s="20"/>
      <c r="G20" s="21"/>
      <c r="H20" s="23"/>
      <c r="I20" s="51"/>
      <c r="J20" s="52"/>
      <c r="K20" s="53"/>
      <c r="L20" s="56">
        <f t="shared" ref="L20:L24" si="0">K19/2-N19</f>
        <v>950</v>
      </c>
      <c r="M20" s="57"/>
      <c r="N20" s="58"/>
    </row>
    <row r="21" ht="20.25" spans="6:14">
      <c r="F21" s="16" t="s">
        <v>31</v>
      </c>
      <c r="G21" s="17" t="s">
        <v>32</v>
      </c>
      <c r="H21" s="18" t="s">
        <v>11</v>
      </c>
      <c r="I21" s="43">
        <v>400</v>
      </c>
      <c r="J21" s="44" t="s">
        <v>33</v>
      </c>
      <c r="K21" s="45">
        <v>800</v>
      </c>
      <c r="L21" s="46">
        <v>1</v>
      </c>
      <c r="M21" s="46"/>
      <c r="N21" s="47">
        <f>K21/2*0.05</f>
        <v>20</v>
      </c>
    </row>
    <row r="22" ht="20.25" spans="6:14">
      <c r="F22" s="16"/>
      <c r="G22" s="17"/>
      <c r="H22" s="19"/>
      <c r="I22" s="43"/>
      <c r="J22" s="44"/>
      <c r="K22" s="45"/>
      <c r="L22" s="48">
        <f t="shared" si="0"/>
        <v>380</v>
      </c>
      <c r="M22" s="49"/>
      <c r="N22" s="50"/>
    </row>
    <row r="23" ht="20.25" spans="6:14">
      <c r="F23" s="20" t="s">
        <v>34</v>
      </c>
      <c r="G23" s="21" t="s">
        <v>35</v>
      </c>
      <c r="H23" s="22" t="s">
        <v>11</v>
      </c>
      <c r="I23" s="51">
        <v>900</v>
      </c>
      <c r="J23" s="52" t="s">
        <v>36</v>
      </c>
      <c r="K23" s="53">
        <v>900</v>
      </c>
      <c r="L23" s="54">
        <v>1</v>
      </c>
      <c r="M23" s="54"/>
      <c r="N23" s="55">
        <f>K23/2*0.05</f>
        <v>22.5</v>
      </c>
    </row>
    <row r="24" ht="20.25" spans="6:14">
      <c r="F24" s="20"/>
      <c r="G24" s="21"/>
      <c r="H24" s="23"/>
      <c r="I24" s="51"/>
      <c r="J24" s="52"/>
      <c r="K24" s="53"/>
      <c r="L24" s="56">
        <f t="shared" si="0"/>
        <v>427.5</v>
      </c>
      <c r="M24" s="57"/>
      <c r="N24" s="58"/>
    </row>
    <row r="25" ht="20.25" spans="6:14">
      <c r="F25" s="16" t="s">
        <v>31</v>
      </c>
      <c r="G25" s="17" t="s">
        <v>35</v>
      </c>
      <c r="H25" s="18" t="s">
        <v>11</v>
      </c>
      <c r="I25" s="43">
        <v>500</v>
      </c>
      <c r="J25" s="44" t="s">
        <v>37</v>
      </c>
      <c r="K25" s="45">
        <v>1000</v>
      </c>
      <c r="L25" s="54">
        <v>1</v>
      </c>
      <c r="M25" s="46"/>
      <c r="N25" s="47">
        <f>K25/2*0.05</f>
        <v>25</v>
      </c>
    </row>
    <row r="26" ht="20.25" spans="6:14">
      <c r="F26" s="16"/>
      <c r="G26" s="17"/>
      <c r="H26" s="19"/>
      <c r="I26" s="43"/>
      <c r="J26" s="44"/>
      <c r="K26" s="45"/>
      <c r="L26" s="56">
        <f>K25/2-N25</f>
        <v>475</v>
      </c>
      <c r="M26" s="49"/>
      <c r="N26" s="50"/>
    </row>
    <row r="27" ht="20.25" spans="6:14">
      <c r="F27" s="20" t="s">
        <v>38</v>
      </c>
      <c r="G27" s="21" t="s">
        <v>39</v>
      </c>
      <c r="H27" s="22" t="s">
        <v>11</v>
      </c>
      <c r="I27" s="51">
        <v>500</v>
      </c>
      <c r="J27" s="52" t="s">
        <v>40</v>
      </c>
      <c r="K27" s="53">
        <v>500</v>
      </c>
      <c r="L27" s="54">
        <v>1</v>
      </c>
      <c r="M27" s="54"/>
      <c r="N27" s="55">
        <f>K27/2*0.05</f>
        <v>12.5</v>
      </c>
    </row>
    <row r="28" ht="20.25" spans="6:14">
      <c r="F28" s="20"/>
      <c r="G28" s="21"/>
      <c r="H28" s="23"/>
      <c r="I28" s="51"/>
      <c r="J28" s="52"/>
      <c r="K28" s="53"/>
      <c r="L28" s="56">
        <f>K27/2-N27</f>
        <v>237.5</v>
      </c>
      <c r="M28" s="57"/>
      <c r="N28" s="58"/>
    </row>
    <row r="29" ht="20.25" spans="6:14">
      <c r="F29" s="16" t="s">
        <v>41</v>
      </c>
      <c r="G29" s="17" t="s">
        <v>42</v>
      </c>
      <c r="H29" s="18" t="s">
        <v>11</v>
      </c>
      <c r="I29" s="43">
        <v>3000</v>
      </c>
      <c r="J29" s="44" t="s">
        <v>43</v>
      </c>
      <c r="K29" s="45">
        <v>6000</v>
      </c>
      <c r="L29" s="46">
        <v>1</v>
      </c>
      <c r="M29" s="46"/>
      <c r="N29" s="47">
        <f>K29/2*0.05</f>
        <v>150</v>
      </c>
    </row>
    <row r="30" ht="20.25" spans="6:14">
      <c r="F30" s="16"/>
      <c r="G30" s="17"/>
      <c r="H30" s="19"/>
      <c r="I30" s="43"/>
      <c r="J30" s="44"/>
      <c r="K30" s="45"/>
      <c r="L30" s="48">
        <f>K29/2-N29</f>
        <v>2850</v>
      </c>
      <c r="M30" s="49"/>
      <c r="N30" s="50"/>
    </row>
    <row r="31" ht="20.25" spans="6:14">
      <c r="F31" s="20" t="s">
        <v>44</v>
      </c>
      <c r="G31" s="21" t="s">
        <v>45</v>
      </c>
      <c r="H31" s="22" t="s">
        <v>11</v>
      </c>
      <c r="I31" s="51">
        <v>3000</v>
      </c>
      <c r="J31" s="52" t="s">
        <v>46</v>
      </c>
      <c r="K31" s="53">
        <v>3000</v>
      </c>
      <c r="L31" s="59">
        <v>1</v>
      </c>
      <c r="M31" s="54"/>
      <c r="N31" s="55">
        <f>K31/2*0.05</f>
        <v>75</v>
      </c>
    </row>
    <row r="32" ht="20.25" spans="6:14">
      <c r="F32" s="20"/>
      <c r="G32" s="21"/>
      <c r="H32" s="23"/>
      <c r="I32" s="51"/>
      <c r="J32" s="52"/>
      <c r="K32" s="53"/>
      <c r="L32" s="56">
        <f>K31/2-N31</f>
        <v>1425</v>
      </c>
      <c r="M32" s="57"/>
      <c r="N32" s="58"/>
    </row>
    <row r="33" ht="20.25" spans="6:14">
      <c r="F33" s="16" t="s">
        <v>47</v>
      </c>
      <c r="G33" s="17" t="s">
        <v>48</v>
      </c>
      <c r="H33" s="18" t="s">
        <v>11</v>
      </c>
      <c r="I33" s="43">
        <v>5000</v>
      </c>
      <c r="J33" s="44" t="s">
        <v>49</v>
      </c>
      <c r="K33" s="45">
        <v>10000</v>
      </c>
      <c r="L33" s="59">
        <v>1</v>
      </c>
      <c r="M33" s="46"/>
      <c r="N33" s="47">
        <f>K33/2*0.05</f>
        <v>250</v>
      </c>
    </row>
    <row r="34" ht="20.25" spans="6:14">
      <c r="F34" s="16"/>
      <c r="G34" s="17"/>
      <c r="H34" s="19"/>
      <c r="I34" s="43"/>
      <c r="J34" s="44"/>
      <c r="K34" s="45"/>
      <c r="L34" s="48">
        <f>K33/2-N33</f>
        <v>4750</v>
      </c>
      <c r="M34" s="49"/>
      <c r="N34" s="50"/>
    </row>
    <row r="35" ht="20.25" spans="6:14">
      <c r="F35" s="20" t="s">
        <v>41</v>
      </c>
      <c r="G35" s="21" t="s">
        <v>50</v>
      </c>
      <c r="H35" s="22"/>
      <c r="I35" s="51">
        <v>10000</v>
      </c>
      <c r="J35" s="52" t="s">
        <v>51</v>
      </c>
      <c r="K35" s="53">
        <v>20000</v>
      </c>
      <c r="L35" s="59">
        <v>1</v>
      </c>
      <c r="M35" s="54"/>
      <c r="N35" s="55">
        <f>K35/2*0.05</f>
        <v>500</v>
      </c>
    </row>
    <row r="36" ht="20.25" spans="6:14">
      <c r="F36" s="20"/>
      <c r="G36" s="21"/>
      <c r="H36" s="23"/>
      <c r="I36" s="51"/>
      <c r="J36" s="52"/>
      <c r="K36" s="53"/>
      <c r="L36" s="56">
        <f>K35/2-N35</f>
        <v>9500</v>
      </c>
      <c r="M36" s="57"/>
      <c r="N36" s="58"/>
    </row>
    <row r="37" ht="20.25" spans="6:14">
      <c r="F37" s="16" t="s">
        <v>52</v>
      </c>
      <c r="G37" s="17" t="s">
        <v>53</v>
      </c>
      <c r="H37" s="18"/>
      <c r="I37" s="43">
        <v>15000</v>
      </c>
      <c r="J37" s="44" t="s">
        <v>54</v>
      </c>
      <c r="K37" s="45">
        <v>30000</v>
      </c>
      <c r="L37" s="59">
        <v>1</v>
      </c>
      <c r="M37" s="46"/>
      <c r="N37" s="47">
        <f>K37/2*0.05</f>
        <v>750</v>
      </c>
    </row>
    <row r="38" ht="20.25" spans="6:14">
      <c r="F38" s="16"/>
      <c r="G38" s="17"/>
      <c r="H38" s="19"/>
      <c r="I38" s="43"/>
      <c r="J38" s="44"/>
      <c r="K38" s="45"/>
      <c r="L38" s="48">
        <f>K37/2-N37</f>
        <v>14250</v>
      </c>
      <c r="M38" s="49"/>
      <c r="N38" s="50"/>
    </row>
    <row r="39" ht="20.25" spans="6:14">
      <c r="F39" s="20" t="s">
        <v>44</v>
      </c>
      <c r="G39" s="21" t="s">
        <v>55</v>
      </c>
      <c r="H39" s="22" t="s">
        <v>11</v>
      </c>
      <c r="I39" s="51">
        <v>2000</v>
      </c>
      <c r="J39" s="52" t="s">
        <v>56</v>
      </c>
      <c r="K39" s="53">
        <v>2000</v>
      </c>
      <c r="L39" s="59">
        <v>1</v>
      </c>
      <c r="M39" s="54"/>
      <c r="N39" s="55">
        <f>K39/2*0.05</f>
        <v>50</v>
      </c>
    </row>
    <row r="40" ht="20.25" spans="6:14">
      <c r="F40" s="20"/>
      <c r="G40" s="21"/>
      <c r="H40" s="23"/>
      <c r="I40" s="51"/>
      <c r="J40" s="52"/>
      <c r="K40" s="53"/>
      <c r="L40" s="56">
        <f>K39/2-N39</f>
        <v>950</v>
      </c>
      <c r="M40" s="57"/>
      <c r="N40" s="58"/>
    </row>
    <row r="41" ht="20.25" spans="6:14">
      <c r="F41" s="16" t="s">
        <v>41</v>
      </c>
      <c r="G41" s="17" t="s">
        <v>57</v>
      </c>
      <c r="H41" s="18"/>
      <c r="I41" s="43">
        <v>1000</v>
      </c>
      <c r="J41" s="44" t="s">
        <v>58</v>
      </c>
      <c r="K41" s="45">
        <v>1000</v>
      </c>
      <c r="L41" s="59">
        <v>1</v>
      </c>
      <c r="M41" s="46"/>
      <c r="N41" s="47">
        <f>K41/2*0.05</f>
        <v>25</v>
      </c>
    </row>
    <row r="42" ht="20.25" spans="6:14">
      <c r="F42" s="16"/>
      <c r="G42" s="17"/>
      <c r="H42" s="19"/>
      <c r="I42" s="43"/>
      <c r="J42" s="44"/>
      <c r="K42" s="45"/>
      <c r="L42" s="48">
        <f>K41/2-N41</f>
        <v>475</v>
      </c>
      <c r="M42" s="49"/>
      <c r="N42" s="50"/>
    </row>
    <row r="43" ht="20.25" spans="6:14">
      <c r="F43" s="20" t="s">
        <v>44</v>
      </c>
      <c r="G43" s="21" t="s">
        <v>59</v>
      </c>
      <c r="H43" s="22" t="s">
        <v>11</v>
      </c>
      <c r="I43" s="51">
        <v>1500</v>
      </c>
      <c r="J43" s="52" t="s">
        <v>60</v>
      </c>
      <c r="K43" s="53">
        <v>1500</v>
      </c>
      <c r="L43" s="59">
        <v>1</v>
      </c>
      <c r="M43" s="54"/>
      <c r="N43" s="55">
        <f>K43/2*0.05</f>
        <v>37.5</v>
      </c>
    </row>
    <row r="44" ht="20.25" spans="6:14">
      <c r="F44" s="20"/>
      <c r="G44" s="21"/>
      <c r="H44" s="23"/>
      <c r="I44" s="51"/>
      <c r="J44" s="52"/>
      <c r="K44" s="53"/>
      <c r="L44" s="56">
        <f>K43/2-N43</f>
        <v>712.5</v>
      </c>
      <c r="M44" s="57"/>
      <c r="N44" s="58"/>
    </row>
    <row r="45" ht="20.25" spans="6:14">
      <c r="F45" s="16" t="s">
        <v>61</v>
      </c>
      <c r="G45" s="17" t="s">
        <v>62</v>
      </c>
      <c r="H45" s="18" t="s">
        <v>11</v>
      </c>
      <c r="I45" s="43">
        <v>750</v>
      </c>
      <c r="J45" s="44" t="s">
        <v>63</v>
      </c>
      <c r="K45" s="45">
        <v>1500</v>
      </c>
      <c r="L45" s="46">
        <v>1</v>
      </c>
      <c r="M45" s="46"/>
      <c r="N45" s="47">
        <f>K45/2*0.05</f>
        <v>37.5</v>
      </c>
    </row>
    <row r="46" ht="20.25" spans="6:14">
      <c r="F46" s="16"/>
      <c r="G46" s="17"/>
      <c r="H46" s="19"/>
      <c r="I46" s="43"/>
      <c r="J46" s="44"/>
      <c r="K46" s="45"/>
      <c r="L46" s="48">
        <f>K45/2-N45</f>
        <v>712.5</v>
      </c>
      <c r="M46" s="49"/>
      <c r="N46" s="50"/>
    </row>
    <row r="47" ht="20.25" spans="6:14">
      <c r="F47" s="20" t="s">
        <v>44</v>
      </c>
      <c r="G47" s="21" t="s">
        <v>64</v>
      </c>
      <c r="H47" s="22" t="s">
        <v>11</v>
      </c>
      <c r="I47" s="51">
        <v>0</v>
      </c>
      <c r="J47" s="52"/>
      <c r="K47" s="53">
        <v>2000</v>
      </c>
      <c r="L47" s="54">
        <v>1</v>
      </c>
      <c r="M47" s="54"/>
      <c r="N47" s="55">
        <f>K47/2*0.05</f>
        <v>50</v>
      </c>
    </row>
    <row r="48" ht="20.25" spans="6:14">
      <c r="F48" s="20"/>
      <c r="G48" s="21"/>
      <c r="H48" s="23"/>
      <c r="I48" s="51"/>
      <c r="J48" s="52"/>
      <c r="K48" s="53"/>
      <c r="L48" s="56">
        <f>K47/2-N47</f>
        <v>950</v>
      </c>
      <c r="M48" s="57"/>
      <c r="N48" s="58"/>
    </row>
    <row r="49" ht="20.25" spans="6:14">
      <c r="F49" s="16" t="s">
        <v>44</v>
      </c>
      <c r="G49" s="17" t="s">
        <v>65</v>
      </c>
      <c r="H49" s="18" t="s">
        <v>11</v>
      </c>
      <c r="I49" s="43">
        <v>0</v>
      </c>
      <c r="J49" s="44" t="s">
        <v>66</v>
      </c>
      <c r="K49" s="45">
        <v>2000</v>
      </c>
      <c r="L49" s="46">
        <v>1</v>
      </c>
      <c r="M49" s="46"/>
      <c r="N49" s="47">
        <f>K49/2*0.05</f>
        <v>50</v>
      </c>
    </row>
    <row r="50" ht="20.25" spans="6:14">
      <c r="F50" s="16"/>
      <c r="G50" s="17"/>
      <c r="H50" s="19"/>
      <c r="I50" s="43"/>
      <c r="J50" s="44"/>
      <c r="K50" s="45"/>
      <c r="L50" s="48">
        <f>K49/2-N49</f>
        <v>950</v>
      </c>
      <c r="M50" s="49"/>
      <c r="N50" s="50"/>
    </row>
    <row r="51" ht="20.25" spans="6:14">
      <c r="F51" s="20" t="s">
        <v>67</v>
      </c>
      <c r="G51" s="21" t="s">
        <v>68</v>
      </c>
      <c r="H51" s="22"/>
      <c r="I51" s="51">
        <v>2500</v>
      </c>
      <c r="J51" s="52" t="s">
        <v>69</v>
      </c>
      <c r="K51" s="53">
        <v>5000</v>
      </c>
      <c r="L51" s="54"/>
      <c r="M51" s="54"/>
      <c r="N51" s="55">
        <f t="shared" ref="N51:N55" si="1">K51/2*0.05</f>
        <v>125</v>
      </c>
    </row>
    <row r="52" ht="20.25" spans="6:14">
      <c r="F52" s="20"/>
      <c r="G52" s="21"/>
      <c r="H52" s="23"/>
      <c r="I52" s="51"/>
      <c r="J52" s="52"/>
      <c r="K52" s="53"/>
      <c r="L52" s="56"/>
      <c r="M52" s="57"/>
      <c r="N52" s="58"/>
    </row>
    <row r="53" ht="20.25" spans="6:14">
      <c r="F53" s="16" t="s">
        <v>70</v>
      </c>
      <c r="G53" s="17" t="s">
        <v>71</v>
      </c>
      <c r="H53" s="18"/>
      <c r="I53" s="43">
        <v>7500</v>
      </c>
      <c r="J53" s="44"/>
      <c r="K53" s="45">
        <v>15000</v>
      </c>
      <c r="L53" s="46"/>
      <c r="M53" s="46"/>
      <c r="N53" s="47">
        <f t="shared" si="1"/>
        <v>375</v>
      </c>
    </row>
    <row r="54" ht="20.25" spans="6:14">
      <c r="F54" s="16"/>
      <c r="G54" s="17"/>
      <c r="H54" s="19"/>
      <c r="I54" s="43"/>
      <c r="J54" s="44"/>
      <c r="K54" s="45"/>
      <c r="L54" s="48"/>
      <c r="M54" s="49"/>
      <c r="N54" s="50"/>
    </row>
    <row r="55" ht="20.25" spans="6:14">
      <c r="F55" s="20"/>
      <c r="G55" s="21"/>
      <c r="H55" s="22"/>
      <c r="I55" s="51"/>
      <c r="J55" s="52"/>
      <c r="K55" s="53"/>
      <c r="L55" s="54"/>
      <c r="M55" s="54"/>
      <c r="N55" s="55">
        <f t="shared" si="1"/>
        <v>0</v>
      </c>
    </row>
    <row r="56" ht="21" spans="6:14">
      <c r="F56" s="24"/>
      <c r="G56" s="25"/>
      <c r="H56" s="26"/>
      <c r="I56" s="60"/>
      <c r="J56" s="61"/>
      <c r="K56" s="62"/>
      <c r="L56" s="63"/>
      <c r="M56" s="64"/>
      <c r="N56" s="65"/>
    </row>
  </sheetData>
  <mergeCells count="183"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F2:N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JazzOrche</cp:lastModifiedBy>
  <dcterms:created xsi:type="dcterms:W3CDTF">2019-05-30T15:32:00Z</dcterms:created>
  <dcterms:modified xsi:type="dcterms:W3CDTF">2019-10-10T06:13:00Z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